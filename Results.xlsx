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Stuttgart Uni\Openai\"/>
    </mc:Choice>
  </mc:AlternateContent>
  <xr:revisionPtr revIDLastSave="0" documentId="13_ncr:1_{F3FA97E0-DD59-4AFE-AB83-F1B3A7F86B85}" xr6:coauthVersionLast="47" xr6:coauthVersionMax="47" xr10:uidLastSave="{00000000-0000-0000-0000-000000000000}"/>
  <bookViews>
    <workbookView xWindow="1392" yWindow="3840" windowWidth="16104" windowHeight="8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H2" i="1"/>
  <c r="I2" i="1"/>
</calcChain>
</file>

<file path=xl/sharedStrings.xml><?xml version="1.0" encoding="utf-8"?>
<sst xmlns="http://schemas.openxmlformats.org/spreadsheetml/2006/main" count="110" uniqueCount="108">
  <si>
    <t>Prompt</t>
  </si>
  <si>
    <t>Base Model</t>
  </si>
  <si>
    <t>Fine Tuned Model</t>
  </si>
  <si>
    <t>Valid Base</t>
  </si>
  <si>
    <t>Valid FineTuned</t>
  </si>
  <si>
    <t>Score Base</t>
  </si>
  <si>
    <t>Score Fine Tuned model</t>
  </si>
  <si>
    <t>Get count of workers whose salary is over 1000</t>
  </si>
  <si>
    <t xml:space="preserve"> SELECT COUNT(*) AS "Number of Workers" FROM Employees WHERE Salary &gt; 1000</t>
  </si>
  <si>
    <t xml:space="preserve">  select count(*) from worker where salary  &gt;  1000</t>
  </si>
  <si>
    <t>how many new users signed up in each of the last 2 months?</t>
  </si>
  <si>
    <t>SELECT COUNT(*) AS "Number of new users" FROM Signups WHERE "Date" BETWEEN '2018-01-01' AND '2018-03-31'</t>
  </si>
  <si>
    <t>select count(distinct user_id) from users where signup_dt between date_part('month', signup_dt) and date_part('month', signup_dt - interval 2 month)</t>
  </si>
  <si>
    <t xml:space="preserve">what percent of users who signed up converted to paid?  </t>
  </si>
  <si>
    <t xml:space="preserve"> SELECT COUNT(*) as "Number of Users", CASE WHEN SIGNUP_CONVERSION_RATE &gt; 0 THEN SIGNUP_CONVERSION_RATE ELSE 0 END as "Conversion Rate" FROM SIGNUPS GROUP BY 1 HAVING COUNT(*) &gt; 0</t>
  </si>
  <si>
    <t>select sum(case when signup_dt &gt; now() - interval '1 month' then 1 else 0 end)/count(*) as conversion_to_paid from users</t>
  </si>
  <si>
    <t>What is the name, city, country for every airport in the city of New York?</t>
  </si>
  <si>
    <t>select name ,  city ,  country from airport where city = 'new york'</t>
  </si>
  <si>
    <t>SELECT name, city, country FROM airports WHERE city='New York';</t>
  </si>
  <si>
    <t xml:space="preserve">select title from movie where release_date &gt; 2000 and director = 'james cameron' </t>
  </si>
  <si>
    <t>What is the name of the movie produced after 2000 and directed by James Cameron?</t>
  </si>
  <si>
    <t xml:space="preserve">select name from movie where release_date &gt; 2000 and director = 'james cameron' </t>
  </si>
  <si>
    <t>select title from movie where director = 'steven spielberg'</t>
  </si>
  <si>
    <t>"What are the names of all movies directed by Steven Spielberg?</t>
  </si>
  <si>
    <t>select name from movie where director = 'steven spielberg'</t>
  </si>
  <si>
    <t>select name from person where height &lt; average_height</t>
  </si>
  <si>
    <t>What are the names of people who are shorter than average?</t>
  </si>
  <si>
    <t>SELECT first_name FROM actor WHERE film_name='Space Jam'</t>
  </si>
  <si>
    <t>select avg(salary) from employee where jobtitle = \"manager\" and age &gt; 30</t>
  </si>
  <si>
    <t>What is the average salary of all the employees whose job title is \"manager\" and they are more than 30</t>
  </si>
  <si>
    <t>What is the first name of the actor who performed \"main character"\ for the film\"Space Jam\"?</t>
  </si>
  <si>
    <t>select t1.firstname from film as t1 join actor as t2 on t1.actorid = t2.actorid where t1.title = \"space jam\" and t1.position = \"main character"\</t>
  </si>
  <si>
    <t>Find the name and active date of the employee that use bike as the transport method</t>
  </si>
  <si>
    <t>select name , active_dt from worker where transport_method = 'bike'</t>
  </si>
  <si>
    <t>SELECT employee.name, employee.active_date FROM employee WHERE employee.transport_method='bike'</t>
  </si>
  <si>
    <t>SELECT apartment_type_code, COUNT(*) AS "Number of Apartments" FROM apartments GROUP BY apartment_type_code ORDER BY "Number of Apartments" ASC</t>
  </si>
  <si>
    <t>select type_code , count(*) from housing group by type_code order by count(*) desc</t>
  </si>
  <si>
    <t>Show the apartment type codes and the corresponding number of apartments sorted by the number of apartments in ascending order.</t>
  </si>
  <si>
    <t>select max(t3.vehicle_id) as id, sum(t1.driving_time) as total_driving_time from driving_lessons as t1 join vehicles as t3 on t1.vehicle_id = t3.vehicle_id group by t3.vehicle_id</t>
  </si>
  <si>
    <t>SELECT id, detail FROM lessons WHERE vehicle='most of the times'</t>
  </si>
  <si>
    <t>"What is the id and detail of the vehicle used in lessons for most of the times?</t>
  </si>
  <si>
    <t>How many faculty do we have?</t>
  </si>
  <si>
    <t>SELECT COUNT(*) AS "Number of Faculty" FROM Faculty</t>
  </si>
  <si>
    <t>select count(*) from faculty</t>
  </si>
  <si>
    <t>Which faculty members advise two ore more students? Give me their faculty ids.</t>
  </si>
  <si>
    <t>select faculty_id from faculty where number_of_ advisees &gt; 2</t>
  </si>
  <si>
    <t>SELECT f.faculty_id FROM faculty f JOIN advisee a ON a.faculty_id=f.faculty_id JOIN student s ON a.student_id=s.student_id GROUP BY f.faculty_id HAVING COUNT(*)&gt;=2</t>
  </si>
  <si>
    <t xml:space="preserve">select role , count(*) from person group by role having count(*) &gt; 1 </t>
  </si>
  <si>
    <t>List roles that have more than one employee. List the role description and number of employees</t>
  </si>
  <si>
    <t>SELECT role, COUNT(*) as "No. of Employees" FROM roles GROUP BY role HAVING COUNT(*) &gt; 1</t>
  </si>
  <si>
    <t>select last_name from person where age  &lt;  (select avg(age) from person where job  =  'engineer')</t>
  </si>
  <si>
    <t>SELECT youngest_engineer.last_name FROM youngest_engineer WHERE youngest_engineer.age = ?</t>
  </si>
  <si>
    <t>What is the last name of the youngest engieneer?</t>
  </si>
  <si>
    <t>What are the names of all the films whose editor is under the label of \"MCU\"?</t>
  </si>
  <si>
    <t>select title from film where editor in (select distinct editor from management as t1 join film as t2 on t1.film_id  =  t2.film_id where t1.label  =  \"mcu\");</t>
  </si>
  <si>
    <t>SELECT Film.Title AS FilmTitle, Editor.Label AS EditorLabel FROM Film JOIN Editor ON Film.EditorLabel = Editor.Label WHERE Editor.Label='MCU'</t>
  </si>
  <si>
    <t>For which albums are there more than four distinct songs listed?</t>
  </si>
  <si>
    <t>select distinct album from songs group by album having count(*)  &gt;  4</t>
  </si>
  <si>
    <t>SELECT album_name FROM song_list GROUP BY album_name HAVING COUNT(DISTINCT song_name) &gt; 4</t>
  </si>
  <si>
    <t>select t1.name from worker as t1 join job on t1.job_id  =  t2.job_id where t1.salary  =  (select max(salary) from worker)</t>
  </si>
  <si>
    <t>SELECT name FROM workers WHERE job_title='worker' AND salary='lowest'</t>
  </si>
  <si>
    <t>select t1.name from worker as t1 join job on t1.job_id  =  t2.job_id where t1.salary  =  (select min(salary) from worker)</t>
  </si>
  <si>
    <t>SELECT name FROM workers WHERE job_title = (SELECT MAX(job_title) FROM workers)</t>
  </si>
  <si>
    <t>What is the name of the worker that has the same job title as the worker with the highest salary?</t>
  </si>
  <si>
    <t>What is the transport method of the employee that has missed the least days of work?</t>
  </si>
  <si>
    <t>select count(*) from driver where  fine  =  \"paid\"</t>
  </si>
  <si>
    <t>SELECT COUNT(*)  FROM fines WHERE status='Paid'</t>
  </si>
  <si>
    <t>How many drivers have at least one fine with status \"Paid\"?</t>
  </si>
  <si>
    <t>Show the name and number of csutomers for the shops managed by employees whose contract is 'Temporary'?</t>
  </si>
  <si>
    <t>select t1.name ,  t2.customers from shop as t1 join customer as t2 on t1.customerid  =  t2.customerid where t1.contract  =  'temporary'</t>
  </si>
  <si>
    <t>SELECT name, count(*) as "Number of Customers" FROM shops JOIN employees ON shops.employee_id=employees.employee_id WHERE contracts='Temporary'</t>
  </si>
  <si>
    <t xml:space="preserve">select name from worker where failure_count &gt; (select max(failure_count) from worker) </t>
  </si>
  <si>
    <t>SELECT name FROM employee WHERE failed_count &gt; (SELECT COUNT(*) FROM employee WHERE failed_date &gt; (SELECT MAX(failed_date) FROM employee))</t>
  </si>
  <si>
    <t>What is the name of the employee that failed the most during this semester?</t>
  </si>
  <si>
    <t>select name from worker where customer_id = 1 and sales_amount_sum  &gt; all select name from worker where customer_id = 1 and sales_amount_sum  &gt; all</t>
  </si>
  <si>
    <t>Which worker have made the most sales to the customer Juan?</t>
  </si>
  <si>
    <t>SELECT worker_id, COUNT(*) AS "Number of Sales" FROM sales JOIN customers ON customers.customer_id = sales.customer_id WHERE customer_name = 'Juan' GROUP BY worker_id HAVING COUNT(*) &gt; 1</t>
  </si>
  <si>
    <t>SELECT customer_id, COUNT(*) AS "Number of buys" FROM purchase GROUP BY customer_id HAVING COUNT(*) &gt; 1 ORDER BY "Number of buys" DESC</t>
  </si>
  <si>
    <t>select max(customer_id) from customers where department_id = \"shop\"</t>
  </si>
  <si>
    <t>Which customer has made the most buys in the shop department "\Pcs\"?</t>
  </si>
  <si>
    <t>Valid FewExamples</t>
  </si>
  <si>
    <t>Score FewExamples</t>
  </si>
  <si>
    <t>SELECT count(*) FROM worker WHERE salary &gt; 1000</t>
  </si>
  <si>
    <t>SELECT sum(case when signup_dt&gt;= now() - interval '1 month' then 1 else 0 end) as signups_this_month,\nsum(case when signup_dt&gt;= now() - interval '2 months' and signup_dt &lt; now() - interval '1 month'  then 1 else 0 end) as signups_last_month FROM users</t>
  </si>
  <si>
    <t>SELECT SUM(CASE WHEN plan_type='paid' THEN 1 ELSE 0 END)/COUNT(*) AS percent_converted\nFROM users</t>
  </si>
  <si>
    <t>SELECT airport_name, city, country FROM airports\nWHERE city = 'New York'</t>
  </si>
  <si>
    <t>SELECT title FROM movies WHERE director = 'James Cameron' AND year &gt; 2000</t>
  </si>
  <si>
    <t>SELECT * FROM movie m JOIN director d ON m.director_id=d.id\nWHERE m.director_id=8</t>
  </si>
  <si>
    <t>SELECT name FROM users \nWHERE height &lt; (SELECT AVG(height) FROM users)</t>
  </si>
  <si>
    <t>SELECT actor_first_name FROM movie_cast\nWHERE actor_id = (SELECT actor_id FROM movie WHERE title = 'Space Jam');</t>
  </si>
  <si>
    <t>SELECT AVG(salary) FROM workers\nWHERE job_title = 'manager' and age &gt; 30;</t>
  </si>
  <si>
    <t>SELECT first_name, last_name, active_dt FROM employee \nLEFT JOIN transport_methods ON transport_methods.id = employee.transport_method_id\nWHERE transport_methods.type = 'Bike'</t>
  </si>
  <si>
    <t>SELECT type_code, COUNT(*) FROM apartments GROUP BY type_code ORDER BY COUNT(*) DESC</t>
  </si>
  <si>
    <t>SELECT vehicle_id, vehicle_detail FROM vehicle \nWHERE vehicle_used_in_lessons &gt; 0</t>
  </si>
  <si>
    <t>SELECT COUNT(*) FROM faculty</t>
  </si>
  <si>
    <t>SELECT faculty_id FROM faculty, student_advisee\nWHERE faculty.faculty_id = student_advisee.faculty_id\nAND faculty.faculty_id is not null</t>
  </si>
  <si>
    <t>SELECT role, COUNT(*) FROM roles GROUP BY role</t>
  </si>
  <si>
    <t>SELECT last_name FROM engineers</t>
  </si>
  <si>
    <t>SELECT * FROM film JOIN film_role ON film.id = film_role.film_id\nWHERE film_role.role_type = 'editor'\nAND film_role.label = 'MCU'</t>
  </si>
  <si>
    <t>SELECT album, COUNT(*) FROM songs\nGROUP BY album\nHAVING COUNT(*) &gt; 4</t>
  </si>
  <si>
    <t>SELECT worker_name FROM worker\nWHERE worker_id = (SELECT worker_id FROM worker\nWHERE worker_title = (SELECT worker_title FROM worker\nWHERE salary = (SELECT max(salary) FROM worker</t>
  </si>
  <si>
    <t>SELECT transport_method from worker\nWHERE abs(SUM(abs(missed_days))) &lt; (SELECT SUM(abs(missed_days)) from worker)</t>
  </si>
  <si>
    <t>SELECT COUNT(*) FROM fines WHERE status='Paid'\nAND driver_id IN (SELECT driver_id FROM drivers)</t>
  </si>
  <si>
    <t>SELECT shop_name, COUNT(*) FROM shops\nWHERE contract_type = 'Temporary'\nGROUP BY shop_name</t>
  </si>
  <si>
    <t>SELECT last_name, COUNT(*) as failed_count FROM students\nWHERE grade_cd = 'F'\nGROUP BY last_name\nHAVING failed_count &gt; 1</t>
  </si>
  <si>
    <t>SELECT SUM(amount) FROM sales\nWHERE customer_id = 'Juan'\nAND worker_id = (SELECT max(worker_id) FROM sales\nWHERE customer_id = 'Juan'\nGROUP BY worker_id)</t>
  </si>
  <si>
    <t>SELECT MAX(case when customer_id = '1' and department_id = '\\Pcs' then amount else 0 end) \nFROM charges</t>
  </si>
  <si>
    <t>Few Examples (13)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</si>
</sst>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sz val="10"/>
      <color rgb="FF202123"/>
      <name val="Arial"/>
      <family val="2"/>
    </font>
    <font>
      <b/>
      <sz val="10"/>
      <color rgb="FF202123"/>
      <name val="Arial"/>
      <family val="2"/>
    </font>
    <font>
      <sz val="8"/>
      <name val="Liberation Sans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2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14" fillId="0" borderId="0"/>
    <xf numFmtId="0" fontId="1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0" fillId="13" borderId="2" xfId="0" applyFill="1" applyBorder="1"/>
    <xf numFmtId="0" fontId="0" fillId="12" borderId="2" xfId="0" applyFill="1" applyBorder="1"/>
    <xf numFmtId="0" fontId="0" fillId="15" borderId="2" xfId="0" applyFill="1" applyBorder="1"/>
    <xf numFmtId="0" fontId="0" fillId="14" borderId="2" xfId="0" applyFill="1" applyBorder="1"/>
    <xf numFmtId="0" fontId="0" fillId="0" borderId="2" xfId="0" applyBorder="1"/>
    <xf numFmtId="10" fontId="0" fillId="9" borderId="2" xfId="0" quotePrefix="1" applyNumberFormat="1" applyFill="1" applyBorder="1"/>
    <xf numFmtId="0" fontId="16" fillId="15" borderId="2" xfId="0" applyFont="1" applyFill="1" applyBorder="1"/>
    <xf numFmtId="0" fontId="15" fillId="14" borderId="2" xfId="0" applyFont="1" applyFill="1" applyBorder="1"/>
    <xf numFmtId="0" fontId="15" fillId="15" borderId="2" xfId="0" applyFont="1" applyFill="1" applyBorder="1"/>
    <xf numFmtId="0" fontId="0" fillId="10" borderId="2" xfId="0" applyFont="1" applyFill="1" applyBorder="1"/>
    <xf numFmtId="0" fontId="0" fillId="9" borderId="2" xfId="0" applyFont="1" applyFill="1" applyBorder="1"/>
    <xf numFmtId="0" fontId="0" fillId="11" borderId="2" xfId="0" applyFont="1" applyFill="1" applyBorder="1"/>
    <xf numFmtId="0" fontId="16" fillId="16" borderId="2" xfId="0" applyFont="1" applyFill="1" applyBorder="1"/>
    <xf numFmtId="0" fontId="15" fillId="16" borderId="2" xfId="0" applyFont="1" applyFill="1" applyBorder="1"/>
    <xf numFmtId="0" fontId="0" fillId="16" borderId="2" xfId="0" applyFont="1" applyFill="1" applyBorder="1"/>
    <xf numFmtId="0" fontId="0" fillId="16" borderId="2" xfId="0" applyFill="1" applyBorder="1"/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" builtinId="28" customBuiltin="1"/>
    <cellStyle name="Normal" xfId="0" builtinId="0" customBuiltin="1"/>
    <cellStyle name="Note" xfId="14" xr:uid="{00000000-0005-0000-0000-00000E000000}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10"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55" zoomScaleNormal="55" workbookViewId="0">
      <selection activeCell="H16" sqref="H16"/>
    </sheetView>
  </sheetViews>
  <sheetFormatPr baseColWidth="10" defaultRowHeight="13.8"/>
  <cols>
    <col min="1" max="1" width="43.69921875" customWidth="1"/>
    <col min="2" max="2" width="42.5" customWidth="1"/>
    <col min="3" max="3" width="30.19921875" customWidth="1"/>
    <col min="4" max="4" width="39.296875" customWidth="1"/>
    <col min="5" max="5" width="14" customWidth="1"/>
    <col min="6" max="6" width="22.3984375" customWidth="1"/>
    <col min="7" max="7" width="19.59765625" customWidth="1"/>
    <col min="8" max="8" width="20.3984375" customWidth="1"/>
    <col min="9" max="9" width="20.5" customWidth="1"/>
    <col min="10" max="10" width="18.79687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107</v>
      </c>
      <c r="E1" s="2" t="s">
        <v>3</v>
      </c>
      <c r="F1" s="2" t="s">
        <v>4</v>
      </c>
      <c r="G1" s="2" t="s">
        <v>80</v>
      </c>
      <c r="H1" s="2" t="s">
        <v>5</v>
      </c>
      <c r="I1" s="2" t="s">
        <v>6</v>
      </c>
      <c r="J1" s="2" t="s">
        <v>81</v>
      </c>
    </row>
    <row r="2" spans="1:10">
      <c r="A2" s="3" t="s">
        <v>7</v>
      </c>
      <c r="B2" s="4" t="s">
        <v>8</v>
      </c>
      <c r="C2" s="4" t="s">
        <v>9</v>
      </c>
      <c r="D2" s="4" t="s">
        <v>82</v>
      </c>
      <c r="E2" s="10">
        <v>1</v>
      </c>
      <c r="F2" s="11">
        <v>1</v>
      </c>
      <c r="G2" s="11">
        <v>1</v>
      </c>
      <c r="H2" s="6">
        <f>SUM(E2,E3:E26)/25</f>
        <v>0.7</v>
      </c>
      <c r="I2" s="6">
        <f>SUM(F2,F3:F26)/25</f>
        <v>0.86</v>
      </c>
      <c r="J2" s="6">
        <f>SUM(G2,G3:G26)/25</f>
        <v>0.57999999999999996</v>
      </c>
    </row>
    <row r="3" spans="1:10">
      <c r="A3" s="3" t="s">
        <v>10</v>
      </c>
      <c r="B3" s="4" t="s">
        <v>11</v>
      </c>
      <c r="C3" s="4" t="s">
        <v>12</v>
      </c>
      <c r="D3" s="4" t="s">
        <v>83</v>
      </c>
      <c r="E3" s="12">
        <v>0</v>
      </c>
      <c r="F3" s="11">
        <v>1</v>
      </c>
      <c r="G3" s="11">
        <v>1</v>
      </c>
      <c r="H3" s="5"/>
      <c r="I3" s="5"/>
      <c r="J3" s="5"/>
    </row>
    <row r="4" spans="1:10">
      <c r="A4" s="3" t="s">
        <v>13</v>
      </c>
      <c r="B4" s="4" t="s">
        <v>14</v>
      </c>
      <c r="C4" s="4" t="s">
        <v>15</v>
      </c>
      <c r="D4" s="4" t="s">
        <v>84</v>
      </c>
      <c r="E4" s="12">
        <v>0</v>
      </c>
      <c r="F4" s="11">
        <v>1</v>
      </c>
      <c r="G4" s="11">
        <v>0.5</v>
      </c>
      <c r="H4" s="5"/>
      <c r="I4" s="5"/>
      <c r="J4" s="5"/>
    </row>
    <row r="5" spans="1:10">
      <c r="A5" s="3" t="s">
        <v>16</v>
      </c>
      <c r="B5" s="4" t="s">
        <v>18</v>
      </c>
      <c r="C5" s="4" t="s">
        <v>17</v>
      </c>
      <c r="D5" s="4" t="s">
        <v>85</v>
      </c>
      <c r="E5" s="11">
        <v>1</v>
      </c>
      <c r="F5" s="11">
        <v>1</v>
      </c>
      <c r="G5" s="11">
        <v>1</v>
      </c>
      <c r="H5" s="5"/>
      <c r="I5" s="5"/>
      <c r="J5" s="5"/>
    </row>
    <row r="6" spans="1:10">
      <c r="A6" s="7" t="s">
        <v>20</v>
      </c>
      <c r="B6" s="8" t="s">
        <v>21</v>
      </c>
      <c r="C6" s="8" t="s">
        <v>19</v>
      </c>
      <c r="D6" s="8" t="s">
        <v>86</v>
      </c>
      <c r="E6" s="11">
        <v>1</v>
      </c>
      <c r="F6" s="11">
        <v>1</v>
      </c>
      <c r="G6" s="11">
        <v>1</v>
      </c>
      <c r="H6" s="5"/>
      <c r="I6" s="5"/>
      <c r="J6" s="5"/>
    </row>
    <row r="7" spans="1:10">
      <c r="A7" s="7" t="s">
        <v>23</v>
      </c>
      <c r="B7" s="8" t="s">
        <v>24</v>
      </c>
      <c r="C7" s="8" t="s">
        <v>22</v>
      </c>
      <c r="D7" s="8" t="s">
        <v>87</v>
      </c>
      <c r="E7" s="11">
        <v>1</v>
      </c>
      <c r="F7" s="11">
        <v>1</v>
      </c>
      <c r="G7" s="11">
        <v>0</v>
      </c>
      <c r="H7" s="5"/>
      <c r="I7" s="5"/>
      <c r="J7" s="5"/>
    </row>
    <row r="8" spans="1:10">
      <c r="A8" s="7" t="s">
        <v>26</v>
      </c>
      <c r="B8" s="8" t="s">
        <v>25</v>
      </c>
      <c r="C8" s="8" t="s">
        <v>25</v>
      </c>
      <c r="D8" s="8" t="s">
        <v>88</v>
      </c>
      <c r="E8" s="11">
        <v>0.5</v>
      </c>
      <c r="F8" s="11">
        <v>0.5</v>
      </c>
      <c r="G8" s="11">
        <v>1</v>
      </c>
      <c r="H8" s="5"/>
      <c r="I8" s="5"/>
      <c r="J8" s="5"/>
    </row>
    <row r="9" spans="1:10">
      <c r="A9" s="7" t="s">
        <v>30</v>
      </c>
      <c r="B9" s="8" t="s">
        <v>27</v>
      </c>
      <c r="C9" s="8" t="s">
        <v>31</v>
      </c>
      <c r="D9" s="8" t="s">
        <v>89</v>
      </c>
      <c r="E9" s="10">
        <v>0.5</v>
      </c>
      <c r="F9" s="11">
        <v>1</v>
      </c>
      <c r="G9" s="11">
        <v>0.5</v>
      </c>
      <c r="H9" s="5"/>
      <c r="I9" s="5"/>
      <c r="J9" s="5"/>
    </row>
    <row r="10" spans="1:10">
      <c r="A10" s="9" t="s">
        <v>29</v>
      </c>
      <c r="B10" s="8" t="s">
        <v>28</v>
      </c>
      <c r="C10" s="8" t="s">
        <v>28</v>
      </c>
      <c r="D10" s="8" t="s">
        <v>90</v>
      </c>
      <c r="E10" s="11">
        <v>1</v>
      </c>
      <c r="F10" s="11">
        <v>1</v>
      </c>
      <c r="G10" s="11">
        <v>1</v>
      </c>
      <c r="H10" s="5"/>
      <c r="I10" s="5"/>
      <c r="J10" s="5"/>
    </row>
    <row r="11" spans="1:10">
      <c r="A11" s="7" t="s">
        <v>32</v>
      </c>
      <c r="B11" s="8" t="s">
        <v>34</v>
      </c>
      <c r="C11" s="8" t="s">
        <v>33</v>
      </c>
      <c r="D11" s="8" t="s">
        <v>91</v>
      </c>
      <c r="E11" s="11">
        <v>1</v>
      </c>
      <c r="F11" s="11">
        <v>1</v>
      </c>
      <c r="G11" s="11">
        <v>1</v>
      </c>
      <c r="H11" s="5"/>
      <c r="I11" s="5"/>
      <c r="J11" s="5"/>
    </row>
    <row r="12" spans="1:10">
      <c r="A12" s="7" t="s">
        <v>37</v>
      </c>
      <c r="B12" s="8" t="s">
        <v>35</v>
      </c>
      <c r="C12" s="8" t="s">
        <v>36</v>
      </c>
      <c r="D12" s="8" t="s">
        <v>92</v>
      </c>
      <c r="E12" s="12">
        <v>0</v>
      </c>
      <c r="F12" s="11">
        <v>1</v>
      </c>
      <c r="G12" s="11">
        <v>1</v>
      </c>
      <c r="H12" s="5"/>
      <c r="I12" s="5"/>
      <c r="J12" s="5"/>
    </row>
    <row r="13" spans="1:10">
      <c r="A13" s="7" t="s">
        <v>40</v>
      </c>
      <c r="B13" s="8" t="s">
        <v>39</v>
      </c>
      <c r="C13" s="8" t="s">
        <v>38</v>
      </c>
      <c r="D13" s="8" t="s">
        <v>93</v>
      </c>
      <c r="E13" s="12">
        <v>0</v>
      </c>
      <c r="F13" s="11">
        <v>1</v>
      </c>
      <c r="G13" s="11">
        <v>0</v>
      </c>
      <c r="H13" s="5"/>
      <c r="I13" s="5"/>
      <c r="J13" s="5"/>
    </row>
    <row r="14" spans="1:10">
      <c r="A14" s="3" t="s">
        <v>41</v>
      </c>
      <c r="B14" s="8" t="s">
        <v>42</v>
      </c>
      <c r="C14" s="8" t="s">
        <v>43</v>
      </c>
      <c r="D14" s="8" t="s">
        <v>94</v>
      </c>
      <c r="E14" s="11">
        <v>1</v>
      </c>
      <c r="F14" s="11">
        <v>1</v>
      </c>
      <c r="G14" s="11">
        <v>1</v>
      </c>
      <c r="H14" s="5"/>
      <c r="I14" s="5"/>
      <c r="J14" s="5"/>
    </row>
    <row r="15" spans="1:10">
      <c r="A15" s="3" t="s">
        <v>44</v>
      </c>
      <c r="B15" s="8" t="s">
        <v>46</v>
      </c>
      <c r="C15" s="8" t="s">
        <v>45</v>
      </c>
      <c r="D15" s="8" t="s">
        <v>95</v>
      </c>
      <c r="E15" s="11">
        <v>1</v>
      </c>
      <c r="F15" s="10">
        <v>0</v>
      </c>
      <c r="G15" s="10">
        <v>0</v>
      </c>
      <c r="H15" s="5"/>
      <c r="I15" s="5"/>
      <c r="J15" s="5"/>
    </row>
    <row r="16" spans="1:10">
      <c r="A16" s="7" t="s">
        <v>48</v>
      </c>
      <c r="B16" s="8" t="s">
        <v>49</v>
      </c>
      <c r="C16" s="8" t="s">
        <v>47</v>
      </c>
      <c r="D16" s="8" t="s">
        <v>96</v>
      </c>
      <c r="E16" s="11">
        <v>1</v>
      </c>
      <c r="F16" s="11">
        <v>1</v>
      </c>
      <c r="G16" s="11">
        <v>0.5</v>
      </c>
      <c r="H16" s="5"/>
      <c r="I16" s="5"/>
      <c r="J16" s="5"/>
    </row>
    <row r="17" spans="1:10">
      <c r="A17" s="7" t="s">
        <v>52</v>
      </c>
      <c r="B17" s="8" t="s">
        <v>51</v>
      </c>
      <c r="C17" s="8" t="s">
        <v>50</v>
      </c>
      <c r="D17" s="8" t="s">
        <v>97</v>
      </c>
      <c r="E17" s="12">
        <v>0</v>
      </c>
      <c r="F17" s="11">
        <v>1</v>
      </c>
      <c r="G17" s="11">
        <v>0</v>
      </c>
      <c r="H17" s="5"/>
      <c r="I17" s="5"/>
      <c r="J17" s="5"/>
    </row>
    <row r="18" spans="1:10">
      <c r="A18" s="7" t="s">
        <v>53</v>
      </c>
      <c r="B18" s="8" t="s">
        <v>55</v>
      </c>
      <c r="C18" s="8" t="s">
        <v>54</v>
      </c>
      <c r="D18" s="8" t="s">
        <v>98</v>
      </c>
      <c r="E18" s="10">
        <v>0.5</v>
      </c>
      <c r="F18" s="11">
        <v>1</v>
      </c>
      <c r="G18" s="11">
        <v>1</v>
      </c>
      <c r="H18" s="5"/>
      <c r="I18" s="5"/>
      <c r="J18" s="5"/>
    </row>
    <row r="19" spans="1:10">
      <c r="A19" s="7" t="s">
        <v>56</v>
      </c>
      <c r="B19" s="8" t="s">
        <v>58</v>
      </c>
      <c r="C19" s="8" t="s">
        <v>57</v>
      </c>
      <c r="D19" s="8" t="s">
        <v>99</v>
      </c>
      <c r="E19" s="11">
        <v>1</v>
      </c>
      <c r="F19" s="11">
        <v>1</v>
      </c>
      <c r="G19" s="11">
        <v>1</v>
      </c>
      <c r="H19" s="5"/>
      <c r="I19" s="5"/>
      <c r="J19" s="5"/>
    </row>
    <row r="20" spans="1:10">
      <c r="A20" s="7" t="s">
        <v>63</v>
      </c>
      <c r="B20" s="8" t="s">
        <v>62</v>
      </c>
      <c r="C20" s="8" t="s">
        <v>59</v>
      </c>
      <c r="D20" s="8" t="s">
        <v>100</v>
      </c>
      <c r="E20" s="11">
        <v>1</v>
      </c>
      <c r="F20" s="11">
        <v>1</v>
      </c>
      <c r="G20" s="11">
        <v>0</v>
      </c>
      <c r="H20" s="5"/>
      <c r="I20" s="5"/>
      <c r="J20" s="5"/>
    </row>
    <row r="21" spans="1:10">
      <c r="A21" s="7" t="s">
        <v>64</v>
      </c>
      <c r="B21" s="8" t="s">
        <v>60</v>
      </c>
      <c r="C21" s="8" t="s">
        <v>61</v>
      </c>
      <c r="D21" s="8" t="s">
        <v>101</v>
      </c>
      <c r="E21" s="11">
        <v>1</v>
      </c>
      <c r="F21" s="11">
        <v>1</v>
      </c>
      <c r="G21" s="11">
        <v>0.5</v>
      </c>
      <c r="H21" s="5"/>
      <c r="I21" s="5"/>
      <c r="J21" s="5"/>
    </row>
    <row r="22" spans="1:10">
      <c r="A22" s="7" t="s">
        <v>67</v>
      </c>
      <c r="B22" s="8" t="s">
        <v>66</v>
      </c>
      <c r="C22" s="8" t="s">
        <v>65</v>
      </c>
      <c r="D22" s="8" t="s">
        <v>102</v>
      </c>
      <c r="E22" s="11">
        <v>1</v>
      </c>
      <c r="F22" s="11">
        <v>1</v>
      </c>
      <c r="G22" s="11">
        <v>0.5</v>
      </c>
      <c r="H22" s="5"/>
      <c r="I22" s="5"/>
      <c r="J22" s="5"/>
    </row>
    <row r="23" spans="1:10">
      <c r="A23" s="7" t="s">
        <v>68</v>
      </c>
      <c r="B23" s="8" t="s">
        <v>70</v>
      </c>
      <c r="C23" s="8" t="s">
        <v>69</v>
      </c>
      <c r="D23" s="8" t="s">
        <v>103</v>
      </c>
      <c r="E23" s="11">
        <v>1</v>
      </c>
      <c r="F23" s="11">
        <v>1</v>
      </c>
      <c r="G23" s="11">
        <v>0</v>
      </c>
      <c r="H23" s="5"/>
      <c r="I23" s="5"/>
      <c r="J23" s="5"/>
    </row>
    <row r="24" spans="1:10">
      <c r="A24" s="7" t="s">
        <v>73</v>
      </c>
      <c r="B24" s="8" t="s">
        <v>72</v>
      </c>
      <c r="C24" s="8" t="s">
        <v>71</v>
      </c>
      <c r="D24" s="8" t="s">
        <v>104</v>
      </c>
      <c r="E24" s="11">
        <v>1</v>
      </c>
      <c r="F24" s="11">
        <v>1</v>
      </c>
      <c r="G24" s="11">
        <v>0.5</v>
      </c>
      <c r="H24" s="5"/>
      <c r="I24" s="5"/>
      <c r="J24" s="5"/>
    </row>
    <row r="25" spans="1:10">
      <c r="A25" s="7" t="s">
        <v>75</v>
      </c>
      <c r="B25" s="8" t="s">
        <v>76</v>
      </c>
      <c r="C25" s="8" t="s">
        <v>74</v>
      </c>
      <c r="D25" s="8" t="s">
        <v>105</v>
      </c>
      <c r="E25" s="11">
        <v>1</v>
      </c>
      <c r="F25" s="11">
        <v>0</v>
      </c>
      <c r="G25" s="11">
        <v>0.5</v>
      </c>
      <c r="H25" s="5"/>
      <c r="I25" s="5"/>
      <c r="J25" s="5"/>
    </row>
    <row r="26" spans="1:10">
      <c r="A26" s="7" t="s">
        <v>79</v>
      </c>
      <c r="B26" s="8" t="s">
        <v>77</v>
      </c>
      <c r="C26" s="8" t="s">
        <v>78</v>
      </c>
      <c r="D26" s="8" t="s">
        <v>106</v>
      </c>
      <c r="E26" s="11">
        <v>0</v>
      </c>
      <c r="F26" s="11">
        <v>0</v>
      </c>
      <c r="G26" s="11">
        <v>0</v>
      </c>
      <c r="H26" s="16"/>
      <c r="I26" s="16"/>
      <c r="J26" s="5"/>
    </row>
    <row r="27" spans="1:10">
      <c r="A27" s="13"/>
      <c r="B27" s="14"/>
      <c r="C27" s="14"/>
      <c r="D27" s="15"/>
      <c r="E27" s="15"/>
      <c r="F27" s="16"/>
      <c r="G27" s="16"/>
      <c r="H27" s="16"/>
      <c r="I27" s="16"/>
      <c r="J27" s="5"/>
    </row>
    <row r="28" spans="1:10">
      <c r="A28" s="13"/>
      <c r="B28" s="14"/>
      <c r="C28" s="14"/>
      <c r="D28" s="15"/>
      <c r="E28" s="15"/>
      <c r="F28" s="16"/>
      <c r="G28" s="16"/>
      <c r="H28" s="16"/>
      <c r="I28" s="16"/>
      <c r="J28" s="5"/>
    </row>
    <row r="29" spans="1:10">
      <c r="A29" s="13"/>
      <c r="B29" s="14"/>
      <c r="C29" s="14"/>
      <c r="D29" s="15"/>
      <c r="E29" s="15"/>
      <c r="F29" s="16"/>
      <c r="G29" s="16"/>
      <c r="H29" s="16"/>
      <c r="I29" s="16"/>
      <c r="J29" s="5"/>
    </row>
    <row r="30" spans="1:10">
      <c r="A30" s="13"/>
      <c r="B30" s="14"/>
      <c r="C30" s="14"/>
      <c r="D30" s="15"/>
      <c r="E30" s="15"/>
      <c r="F30" s="16"/>
      <c r="G30" s="16"/>
      <c r="H30" s="16"/>
      <c r="I30" s="16"/>
      <c r="J30" s="5"/>
    </row>
    <row r="31" spans="1:10">
      <c r="A31" s="13"/>
      <c r="B31" s="14"/>
      <c r="C31" s="14"/>
      <c r="D31" s="15"/>
      <c r="E31" s="15"/>
      <c r="F31" s="16"/>
      <c r="G31" s="16"/>
      <c r="H31" s="16"/>
      <c r="I31" s="16"/>
      <c r="J31" s="5"/>
    </row>
    <row r="32" spans="1:10">
      <c r="A32" s="13"/>
      <c r="B32" s="14"/>
      <c r="C32" s="14"/>
      <c r="D32" s="15"/>
      <c r="E32" s="15"/>
      <c r="F32" s="16"/>
      <c r="G32" s="16"/>
      <c r="H32" s="16"/>
      <c r="I32" s="16"/>
      <c r="J32" s="5"/>
    </row>
    <row r="33" spans="1:10">
      <c r="A33" s="13"/>
      <c r="B33" s="14"/>
      <c r="C33" s="14"/>
      <c r="D33" s="15"/>
      <c r="E33" s="15"/>
      <c r="F33" s="16"/>
      <c r="G33" s="16"/>
      <c r="H33" s="16"/>
      <c r="I33" s="16"/>
      <c r="J33" s="5"/>
    </row>
    <row r="34" spans="1:10">
      <c r="A34" s="13"/>
      <c r="B34" s="14"/>
      <c r="C34" s="14"/>
      <c r="D34" s="15"/>
      <c r="E34" s="15"/>
      <c r="F34" s="16"/>
      <c r="G34" s="16"/>
      <c r="H34" s="16"/>
      <c r="I34" s="16"/>
      <c r="J34" s="5"/>
    </row>
    <row r="35" spans="1:10">
      <c r="A35" s="13"/>
      <c r="B35" s="14"/>
      <c r="C35" s="14"/>
      <c r="D35" s="15"/>
      <c r="E35" s="15"/>
      <c r="F35" s="16"/>
      <c r="G35" s="16"/>
      <c r="H35" s="16"/>
      <c r="I35" s="16"/>
      <c r="J35" s="5"/>
    </row>
    <row r="36" spans="1:10">
      <c r="A36" s="13"/>
      <c r="B36" s="14"/>
      <c r="C36" s="14"/>
      <c r="D36" s="15"/>
      <c r="E36" s="15"/>
      <c r="F36" s="16"/>
      <c r="G36" s="16"/>
      <c r="H36" s="16"/>
      <c r="I36" s="16"/>
      <c r="J36" s="5"/>
    </row>
    <row r="37" spans="1:10">
      <c r="A37" s="13"/>
      <c r="B37" s="14"/>
      <c r="C37" s="14"/>
      <c r="D37" s="15"/>
      <c r="E37" s="15"/>
      <c r="F37" s="16"/>
      <c r="G37" s="16"/>
      <c r="H37" s="16"/>
      <c r="I37" s="16"/>
      <c r="J37" s="5"/>
    </row>
    <row r="38" spans="1:10">
      <c r="A38" s="13"/>
      <c r="B38" s="14"/>
      <c r="C38" s="14"/>
      <c r="D38" s="15"/>
      <c r="E38" s="15"/>
      <c r="F38" s="16"/>
      <c r="G38" s="16"/>
      <c r="H38" s="16"/>
      <c r="I38" s="16"/>
      <c r="J38" s="5"/>
    </row>
    <row r="39" spans="1:10">
      <c r="A39" s="13"/>
      <c r="B39" s="14"/>
      <c r="C39" s="14"/>
      <c r="D39" s="15"/>
      <c r="E39" s="15"/>
      <c r="F39" s="16"/>
      <c r="G39" s="16"/>
      <c r="H39" s="16"/>
      <c r="I39" s="16"/>
      <c r="J39" s="5"/>
    </row>
    <row r="40" spans="1:10">
      <c r="A40" s="13"/>
      <c r="B40" s="14"/>
      <c r="C40" s="14"/>
      <c r="D40" s="15"/>
      <c r="E40" s="15"/>
      <c r="F40" s="16"/>
      <c r="G40" s="16"/>
      <c r="H40" s="16"/>
      <c r="I40" s="16"/>
      <c r="J40" s="5"/>
    </row>
    <row r="41" spans="1:10">
      <c r="A41" s="13"/>
      <c r="B41" s="14"/>
      <c r="C41" s="14"/>
      <c r="D41" s="15"/>
      <c r="E41" s="15"/>
      <c r="F41" s="16"/>
      <c r="G41" s="16"/>
      <c r="H41" s="16"/>
      <c r="I41" s="16"/>
      <c r="J41" s="5"/>
    </row>
    <row r="42" spans="1:10">
      <c r="A42" s="13"/>
      <c r="B42" s="14"/>
      <c r="C42" s="14"/>
      <c r="D42" s="15"/>
      <c r="E42" s="15"/>
      <c r="F42" s="16"/>
      <c r="G42" s="16"/>
      <c r="H42" s="16"/>
      <c r="I42" s="16"/>
      <c r="J42" s="5"/>
    </row>
    <row r="43" spans="1:10">
      <c r="A43" s="13"/>
      <c r="B43" s="14"/>
      <c r="C43" s="14"/>
      <c r="D43" s="15"/>
      <c r="E43" s="15"/>
      <c r="F43" s="16"/>
      <c r="G43" s="16"/>
      <c r="H43" s="16"/>
      <c r="I43" s="16"/>
      <c r="J43" s="5"/>
    </row>
    <row r="44" spans="1:10">
      <c r="A44" s="13"/>
      <c r="B44" s="14"/>
      <c r="C44" s="14"/>
      <c r="D44" s="15"/>
      <c r="E44" s="15"/>
      <c r="F44" s="16"/>
      <c r="G44" s="16"/>
      <c r="H44" s="16"/>
      <c r="I44" s="16"/>
      <c r="J44" s="5"/>
    </row>
    <row r="45" spans="1:10">
      <c r="A45" s="13"/>
      <c r="B45" s="14"/>
      <c r="C45" s="14"/>
      <c r="D45" s="15"/>
      <c r="E45" s="15"/>
      <c r="F45" s="16"/>
      <c r="G45" s="16"/>
      <c r="H45" s="16"/>
      <c r="I45" s="16"/>
      <c r="J45" s="5"/>
    </row>
    <row r="46" spans="1:10">
      <c r="A46" s="13"/>
      <c r="B46" s="14"/>
      <c r="C46" s="14"/>
      <c r="D46" s="15"/>
      <c r="E46" s="15"/>
      <c r="F46" s="16"/>
      <c r="G46" s="16"/>
      <c r="H46" s="16"/>
      <c r="I46" s="16"/>
      <c r="J46" s="5"/>
    </row>
    <row r="47" spans="1:10">
      <c r="A47" s="13"/>
      <c r="B47" s="14"/>
      <c r="C47" s="14"/>
      <c r="D47" s="15"/>
      <c r="E47" s="15"/>
      <c r="F47" s="16"/>
      <c r="G47" s="16"/>
      <c r="H47" s="16"/>
      <c r="I47" s="16"/>
      <c r="J47" s="5"/>
    </row>
    <row r="48" spans="1:10">
      <c r="A48" s="13"/>
      <c r="B48" s="14"/>
      <c r="C48" s="14"/>
      <c r="D48" s="15"/>
      <c r="E48" s="15"/>
      <c r="F48" s="16"/>
      <c r="G48" s="16"/>
      <c r="H48" s="16"/>
      <c r="I48" s="16"/>
      <c r="J48" s="5"/>
    </row>
    <row r="49" spans="1:10">
      <c r="A49" s="13"/>
      <c r="B49" s="14"/>
      <c r="C49" s="14"/>
      <c r="D49" s="15"/>
      <c r="E49" s="15"/>
      <c r="F49" s="16"/>
      <c r="G49" s="16"/>
      <c r="H49" s="16"/>
      <c r="I49" s="16"/>
      <c r="J49" s="5"/>
    </row>
    <row r="50" spans="1:10">
      <c r="A50" s="13"/>
      <c r="B50" s="14"/>
      <c r="C50" s="14"/>
      <c r="D50" s="15"/>
      <c r="F50" s="16"/>
      <c r="G50" s="16"/>
      <c r="H50" s="16"/>
      <c r="I50" s="16"/>
      <c r="J50" s="5"/>
    </row>
    <row r="51" spans="1:10">
      <c r="A51" s="13"/>
      <c r="B51" s="14"/>
      <c r="C51" s="14"/>
      <c r="D51" s="15"/>
      <c r="E51" s="15"/>
      <c r="F51" s="16"/>
      <c r="G51" s="16"/>
      <c r="H51" s="16"/>
      <c r="I51" s="16"/>
      <c r="J51" s="5"/>
    </row>
  </sheetData>
  <phoneticPr fontId="17" type="noConversion"/>
  <conditionalFormatting sqref="E2:G26">
    <cfRule type="cellIs" dxfId="9" priority="3" operator="equal">
      <formula>1</formula>
    </cfRule>
    <cfRule type="cellIs" dxfId="8" priority="6" operator="equal">
      <formula>0</formula>
    </cfRule>
    <cfRule type="cellIs" dxfId="7" priority="7" operator="equal">
      <formula>0.5</formula>
    </cfRule>
  </conditionalFormatting>
  <conditionalFormatting sqref="H2:J2">
    <cfRule type="cellIs" dxfId="6" priority="1" operator="lessThan">
      <formula>0.5</formula>
    </cfRule>
    <cfRule type="cellIs" dxfId="5" priority="2" operator="greaterThan">
      <formula>0.5</formula>
    </cfRule>
  </conditionalFormatting>
  <pageMargins left="0" right="0" top="0.39370000000000011" bottom="0.39370000000000011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Torres</dc:creator>
  <cp:lastModifiedBy>Alvaro Torres</cp:lastModifiedBy>
  <cp:revision>2</cp:revision>
  <dcterms:created xsi:type="dcterms:W3CDTF">2022-01-24T20:34:05Z</dcterms:created>
  <dcterms:modified xsi:type="dcterms:W3CDTF">2022-01-25T12:08:43Z</dcterms:modified>
</cp:coreProperties>
</file>